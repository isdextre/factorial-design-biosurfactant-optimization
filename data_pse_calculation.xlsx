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E" sheetId="1" r:id="rId4"/>
  </sheets>
  <definedNames/>
  <calcPr/>
</workbook>
</file>

<file path=xl/sharedStrings.xml><?xml version="1.0" encoding="utf-8"?>
<sst xmlns="http://schemas.openxmlformats.org/spreadsheetml/2006/main" count="44" uniqueCount="43">
  <si>
    <t>Run</t>
  </si>
  <si>
    <t>Glucosa</t>
  </si>
  <si>
    <t>NH4NO3</t>
  </si>
  <si>
    <t>FESO4</t>
  </si>
  <si>
    <t>MNSO4</t>
  </si>
  <si>
    <t>Y</t>
  </si>
  <si>
    <t>Tabla codificada</t>
  </si>
  <si>
    <t>A</t>
  </si>
  <si>
    <t>B</t>
  </si>
  <si>
    <t>C</t>
  </si>
  <si>
    <t>D</t>
  </si>
  <si>
    <t>AB</t>
  </si>
  <si>
    <t>AC</t>
  </si>
  <si>
    <t>AD</t>
  </si>
  <si>
    <t>BC</t>
  </si>
  <si>
    <t>BD</t>
  </si>
  <si>
    <t>CD</t>
  </si>
  <si>
    <t>ABC</t>
  </si>
  <si>
    <t>ACD</t>
  </si>
  <si>
    <t>ABD</t>
  </si>
  <si>
    <t>BCD</t>
  </si>
  <si>
    <t>ABCD</t>
  </si>
  <si>
    <t>Cálculo Pseudo Error Standar</t>
  </si>
  <si>
    <t>Paso 1 (e_j)</t>
  </si>
  <si>
    <t>Paso 2 |e_j|</t>
  </si>
  <si>
    <t>Mediana</t>
  </si>
  <si>
    <t>Paso 3</t>
  </si>
  <si>
    <t>s0</t>
  </si>
  <si>
    <t>Paso 4</t>
  </si>
  <si>
    <t>Umbral (2.5*s0)</t>
  </si>
  <si>
    <t>Realizamos filtrado |e_j| &lt; 2.5*s0</t>
  </si>
  <si>
    <t>Filtraciones</t>
  </si>
  <si>
    <t xml:space="preserve">Valores Filtrados </t>
  </si>
  <si>
    <t>Mediana Valores Filtrados</t>
  </si>
  <si>
    <t>Paso 5</t>
  </si>
  <si>
    <t>PSE</t>
  </si>
  <si>
    <t>Paso 6 : Estandarizar los |e_j|</t>
  </si>
  <si>
    <t>t_j</t>
  </si>
  <si>
    <t>Paso 7</t>
  </si>
  <si>
    <t>Línea de significancia (ME)</t>
  </si>
  <si>
    <t>ME</t>
  </si>
  <si>
    <t>Paso 8</t>
  </si>
  <si>
    <r>
      <rPr>
        <rFont val="Arial"/>
        <color theme="1"/>
      </rPr>
      <t xml:space="preserve">Puede observar el diagrama de pareto en la sección </t>
    </r>
    <r>
      <rPr>
        <rFont val="Arial"/>
        <b/>
        <color theme="1"/>
      </rPr>
      <t>Resultados</t>
    </r>
    <r>
      <rPr>
        <rFont val="Arial"/>
        <color theme="1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</si>
</sst>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rgb="FF0000FF"/>
      <name val="Arial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readingOrder="0"/>
    </xf>
    <xf borderId="3" fillId="0" fontId="2" numFmtId="2" xfId="0" applyAlignment="1" applyBorder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6" fillId="0" fontId="3" numFmtId="2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/>
    </xf>
    <xf borderId="7" fillId="0" fontId="3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2" fillId="0" fontId="1" numFmtId="2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3" fillId="0" fontId="2" numFmtId="0" xfId="0" applyAlignment="1" applyBorder="1" applyFont="1">
      <alignment readingOrder="0"/>
    </xf>
    <xf borderId="5" fillId="0" fontId="5" numFmtId="0" xfId="0" applyBorder="1" applyFont="1"/>
    <xf borderId="4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2" fillId="0" fontId="2" numFmtId="2" xfId="0" applyAlignment="1" applyBorder="1" applyFont="1" applyNumberFormat="1">
      <alignment horizontal="center"/>
    </xf>
    <xf borderId="3" fillId="0" fontId="1" numFmtId="0" xfId="0" applyAlignment="1" applyBorder="1" applyFont="1">
      <alignment readingOrder="0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20.0</v>
      </c>
      <c r="C2" s="2">
        <v>2.0</v>
      </c>
      <c r="D2" s="2">
        <v>6.0</v>
      </c>
      <c r="E2" s="2">
        <v>4.0</v>
      </c>
      <c r="F2" s="2">
        <v>23.0</v>
      </c>
    </row>
    <row r="3">
      <c r="A3" s="2">
        <v>2.0</v>
      </c>
      <c r="B3" s="2">
        <v>60.0</v>
      </c>
      <c r="C3" s="2">
        <v>2.0</v>
      </c>
      <c r="D3" s="2">
        <v>6.0</v>
      </c>
      <c r="E3" s="2">
        <v>4.0</v>
      </c>
      <c r="F3" s="2">
        <v>15.0</v>
      </c>
    </row>
    <row r="4">
      <c r="A4" s="2">
        <v>3.0</v>
      </c>
      <c r="B4" s="2">
        <v>20.0</v>
      </c>
      <c r="C4" s="2">
        <v>6.0</v>
      </c>
      <c r="D4" s="2">
        <v>6.0</v>
      </c>
      <c r="E4" s="2">
        <v>4.0</v>
      </c>
      <c r="F4" s="2">
        <v>16.0</v>
      </c>
    </row>
    <row r="5">
      <c r="A5" s="2">
        <v>4.0</v>
      </c>
      <c r="B5" s="2">
        <v>60.0</v>
      </c>
      <c r="C5" s="2">
        <v>6.0</v>
      </c>
      <c r="D5" s="2">
        <v>6.0</v>
      </c>
      <c r="E5" s="2">
        <v>4.0</v>
      </c>
      <c r="F5" s="2">
        <v>18.0</v>
      </c>
    </row>
    <row r="6">
      <c r="A6" s="2">
        <v>5.0</v>
      </c>
      <c r="B6" s="2">
        <v>20.0</v>
      </c>
      <c r="C6" s="2">
        <v>2.0</v>
      </c>
      <c r="D6" s="2">
        <v>30.0</v>
      </c>
      <c r="E6" s="2">
        <v>4.0</v>
      </c>
      <c r="F6" s="2">
        <v>25.0</v>
      </c>
    </row>
    <row r="7">
      <c r="A7" s="2">
        <v>6.0</v>
      </c>
      <c r="B7" s="2">
        <v>60.0</v>
      </c>
      <c r="C7" s="2">
        <v>2.0</v>
      </c>
      <c r="D7" s="2">
        <v>30.0</v>
      </c>
      <c r="E7" s="2">
        <v>4.0</v>
      </c>
      <c r="F7" s="2">
        <v>16.0</v>
      </c>
    </row>
    <row r="8">
      <c r="A8" s="2">
        <v>7.0</v>
      </c>
      <c r="B8" s="2">
        <v>20.0</v>
      </c>
      <c r="C8" s="2">
        <v>6.0</v>
      </c>
      <c r="D8" s="2">
        <v>30.0</v>
      </c>
      <c r="E8" s="2">
        <v>4.0</v>
      </c>
      <c r="F8" s="2">
        <v>17.0</v>
      </c>
    </row>
    <row r="9">
      <c r="A9" s="2">
        <v>8.0</v>
      </c>
      <c r="B9" s="2">
        <v>60.0</v>
      </c>
      <c r="C9" s="2">
        <v>6.0</v>
      </c>
      <c r="D9" s="2">
        <v>30.0</v>
      </c>
      <c r="E9" s="2">
        <v>4.0</v>
      </c>
      <c r="F9" s="2">
        <v>26.0</v>
      </c>
    </row>
    <row r="10">
      <c r="A10" s="2">
        <v>9.0</v>
      </c>
      <c r="B10" s="2">
        <v>20.0</v>
      </c>
      <c r="C10" s="2">
        <v>2.0</v>
      </c>
      <c r="D10" s="2">
        <v>6.0</v>
      </c>
      <c r="E10" s="2">
        <v>20.0</v>
      </c>
      <c r="F10" s="2">
        <v>28.0</v>
      </c>
    </row>
    <row r="11">
      <c r="A11" s="2">
        <v>10.0</v>
      </c>
      <c r="B11" s="2">
        <v>60.0</v>
      </c>
      <c r="C11" s="2">
        <v>2.0</v>
      </c>
      <c r="D11" s="2">
        <v>6.0</v>
      </c>
      <c r="E11" s="2">
        <v>20.0</v>
      </c>
      <c r="F11" s="2">
        <v>16.0</v>
      </c>
    </row>
    <row r="12">
      <c r="A12" s="2">
        <v>11.0</v>
      </c>
      <c r="B12" s="2">
        <v>20.0</v>
      </c>
      <c r="C12" s="2">
        <v>6.0</v>
      </c>
      <c r="D12" s="2">
        <v>6.0</v>
      </c>
      <c r="E12" s="2">
        <v>20.0</v>
      </c>
      <c r="F12" s="2">
        <v>18.0</v>
      </c>
    </row>
    <row r="13">
      <c r="A13" s="2">
        <v>12.0</v>
      </c>
      <c r="B13" s="2">
        <v>60.0</v>
      </c>
      <c r="C13" s="2">
        <v>6.0</v>
      </c>
      <c r="D13" s="2">
        <v>6.0</v>
      </c>
      <c r="E13" s="2">
        <v>20.0</v>
      </c>
      <c r="F13" s="2">
        <v>21.0</v>
      </c>
    </row>
    <row r="14">
      <c r="A14" s="2">
        <v>13.0</v>
      </c>
      <c r="B14" s="2">
        <v>20.0</v>
      </c>
      <c r="C14" s="2">
        <v>2.0</v>
      </c>
      <c r="D14" s="2">
        <v>30.0</v>
      </c>
      <c r="E14" s="2">
        <v>20.0</v>
      </c>
      <c r="F14" s="2">
        <v>36.0</v>
      </c>
    </row>
    <row r="15">
      <c r="A15" s="2">
        <v>14.0</v>
      </c>
      <c r="B15" s="2">
        <v>60.0</v>
      </c>
      <c r="C15" s="2">
        <v>2.0</v>
      </c>
      <c r="D15" s="2">
        <v>30.0</v>
      </c>
      <c r="E15" s="2">
        <v>20.0</v>
      </c>
      <c r="F15" s="2">
        <v>24.0</v>
      </c>
    </row>
    <row r="16">
      <c r="A16" s="2">
        <v>15.0</v>
      </c>
      <c r="B16" s="2">
        <v>20.0</v>
      </c>
      <c r="C16" s="2">
        <v>6.0</v>
      </c>
      <c r="D16" s="2">
        <v>30.0</v>
      </c>
      <c r="E16" s="2">
        <v>20.0</v>
      </c>
      <c r="F16" s="2">
        <v>33.0</v>
      </c>
    </row>
    <row r="17">
      <c r="A17" s="2">
        <v>16.0</v>
      </c>
      <c r="B17" s="2">
        <v>60.0</v>
      </c>
      <c r="C17" s="2">
        <v>6.0</v>
      </c>
      <c r="D17" s="2">
        <v>30.0</v>
      </c>
      <c r="E17" s="2">
        <v>20.0</v>
      </c>
      <c r="F17" s="2">
        <v>34.0</v>
      </c>
    </row>
    <row r="19">
      <c r="A19" s="3" t="s">
        <v>6</v>
      </c>
    </row>
    <row r="20">
      <c r="A20" s="1" t="s">
        <v>0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  <c r="N20" s="1" t="s">
        <v>19</v>
      </c>
      <c r="O20" s="1" t="s">
        <v>20</v>
      </c>
      <c r="P20" s="1" t="s">
        <v>21</v>
      </c>
    </row>
    <row r="21">
      <c r="A21" s="2">
        <v>1.0</v>
      </c>
      <c r="B21" s="2">
        <v>-1.0</v>
      </c>
      <c r="C21" s="2">
        <v>-1.0</v>
      </c>
      <c r="D21" s="2">
        <v>-1.0</v>
      </c>
      <c r="E21" s="2">
        <v>-1.0</v>
      </c>
      <c r="F21" s="4">
        <f t="shared" ref="F21:F36" si="1">B21*C21</f>
        <v>1</v>
      </c>
      <c r="G21" s="4">
        <f t="shared" ref="G21:G36" si="2">B21*D21</f>
        <v>1</v>
      </c>
      <c r="H21" s="4">
        <f t="shared" ref="H21:H36" si="3">B21*E21</f>
        <v>1</v>
      </c>
      <c r="I21" s="4">
        <f t="shared" ref="I21:I36" si="4">C21*D21</f>
        <v>1</v>
      </c>
      <c r="J21" s="4">
        <f t="shared" ref="J21:J36" si="5">C21*E21</f>
        <v>1</v>
      </c>
      <c r="K21" s="4">
        <f t="shared" ref="K21:K36" si="6">D21*E21</f>
        <v>1</v>
      </c>
      <c r="L21" s="4">
        <f t="shared" ref="L21:L36" si="7">PRODUCT(B21:D21)</f>
        <v>-1</v>
      </c>
      <c r="M21" s="4">
        <f t="shared" ref="M21:M36" si="8">PRODUCT(B21,D21,E21)</f>
        <v>-1</v>
      </c>
      <c r="N21" s="4">
        <f t="shared" ref="N21:N36" si="9">B21*C21*E21</f>
        <v>-1</v>
      </c>
      <c r="O21" s="4">
        <f t="shared" ref="O21:O36" si="10">PRODUCT(C21:E21)</f>
        <v>-1</v>
      </c>
      <c r="P21" s="4">
        <f t="shared" ref="P21:P36" si="11">PRODUCT(B21:E21)</f>
        <v>1</v>
      </c>
    </row>
    <row r="22">
      <c r="A22" s="2">
        <v>2.0</v>
      </c>
      <c r="B22" s="2">
        <v>1.0</v>
      </c>
      <c r="C22" s="2">
        <v>-1.0</v>
      </c>
      <c r="D22" s="2">
        <v>-1.0</v>
      </c>
      <c r="E22" s="2">
        <v>-1.0</v>
      </c>
      <c r="F22" s="4">
        <f t="shared" si="1"/>
        <v>-1</v>
      </c>
      <c r="G22" s="4">
        <f t="shared" si="2"/>
        <v>-1</v>
      </c>
      <c r="H22" s="4">
        <f t="shared" si="3"/>
        <v>-1</v>
      </c>
      <c r="I22" s="4">
        <f t="shared" si="4"/>
        <v>1</v>
      </c>
      <c r="J22" s="4">
        <f t="shared" si="5"/>
        <v>1</v>
      </c>
      <c r="K22" s="4">
        <f t="shared" si="6"/>
        <v>1</v>
      </c>
      <c r="L22" s="4">
        <f t="shared" si="7"/>
        <v>1</v>
      </c>
      <c r="M22" s="4">
        <f t="shared" si="8"/>
        <v>1</v>
      </c>
      <c r="N22" s="4">
        <f t="shared" si="9"/>
        <v>1</v>
      </c>
      <c r="O22" s="4">
        <f t="shared" si="10"/>
        <v>-1</v>
      </c>
      <c r="P22" s="4">
        <f t="shared" si="11"/>
        <v>-1</v>
      </c>
    </row>
    <row r="23">
      <c r="A23" s="2">
        <v>3.0</v>
      </c>
      <c r="B23" s="2">
        <v>-1.0</v>
      </c>
      <c r="C23" s="2">
        <v>1.0</v>
      </c>
      <c r="D23" s="2">
        <v>-1.0</v>
      </c>
      <c r="E23" s="2">
        <v>-1.0</v>
      </c>
      <c r="F23" s="4">
        <f t="shared" si="1"/>
        <v>-1</v>
      </c>
      <c r="G23" s="4">
        <f t="shared" si="2"/>
        <v>1</v>
      </c>
      <c r="H23" s="4">
        <f t="shared" si="3"/>
        <v>1</v>
      </c>
      <c r="I23" s="4">
        <f t="shared" si="4"/>
        <v>-1</v>
      </c>
      <c r="J23" s="4">
        <f t="shared" si="5"/>
        <v>-1</v>
      </c>
      <c r="K23" s="4">
        <f t="shared" si="6"/>
        <v>1</v>
      </c>
      <c r="L23" s="4">
        <f t="shared" si="7"/>
        <v>1</v>
      </c>
      <c r="M23" s="4">
        <f t="shared" si="8"/>
        <v>-1</v>
      </c>
      <c r="N23" s="4">
        <f t="shared" si="9"/>
        <v>1</v>
      </c>
      <c r="O23" s="4">
        <f t="shared" si="10"/>
        <v>1</v>
      </c>
      <c r="P23" s="4">
        <f t="shared" si="11"/>
        <v>-1</v>
      </c>
    </row>
    <row r="24">
      <c r="A24" s="2">
        <v>4.0</v>
      </c>
      <c r="B24" s="2">
        <v>1.0</v>
      </c>
      <c r="C24" s="2">
        <v>1.0</v>
      </c>
      <c r="D24" s="2">
        <v>-1.0</v>
      </c>
      <c r="E24" s="2">
        <v>-1.0</v>
      </c>
      <c r="F24" s="4">
        <f t="shared" si="1"/>
        <v>1</v>
      </c>
      <c r="G24" s="4">
        <f t="shared" si="2"/>
        <v>-1</v>
      </c>
      <c r="H24" s="4">
        <f t="shared" si="3"/>
        <v>-1</v>
      </c>
      <c r="I24" s="4">
        <f t="shared" si="4"/>
        <v>-1</v>
      </c>
      <c r="J24" s="4">
        <f t="shared" si="5"/>
        <v>-1</v>
      </c>
      <c r="K24" s="4">
        <f t="shared" si="6"/>
        <v>1</v>
      </c>
      <c r="L24" s="4">
        <f t="shared" si="7"/>
        <v>-1</v>
      </c>
      <c r="M24" s="4">
        <f t="shared" si="8"/>
        <v>1</v>
      </c>
      <c r="N24" s="4">
        <f t="shared" si="9"/>
        <v>-1</v>
      </c>
      <c r="O24" s="4">
        <f t="shared" si="10"/>
        <v>1</v>
      </c>
      <c r="P24" s="4">
        <f t="shared" si="11"/>
        <v>1</v>
      </c>
    </row>
    <row r="25">
      <c r="A25" s="2">
        <v>5.0</v>
      </c>
      <c r="B25" s="2">
        <v>-1.0</v>
      </c>
      <c r="C25" s="2">
        <v>-1.0</v>
      </c>
      <c r="D25" s="2">
        <v>1.0</v>
      </c>
      <c r="E25" s="2">
        <v>-1.0</v>
      </c>
      <c r="F25" s="4">
        <f t="shared" si="1"/>
        <v>1</v>
      </c>
      <c r="G25" s="4">
        <f t="shared" si="2"/>
        <v>-1</v>
      </c>
      <c r="H25" s="4">
        <f t="shared" si="3"/>
        <v>1</v>
      </c>
      <c r="I25" s="4">
        <f t="shared" si="4"/>
        <v>-1</v>
      </c>
      <c r="J25" s="4">
        <f t="shared" si="5"/>
        <v>1</v>
      </c>
      <c r="K25" s="4">
        <f t="shared" si="6"/>
        <v>-1</v>
      </c>
      <c r="L25" s="4">
        <f t="shared" si="7"/>
        <v>1</v>
      </c>
      <c r="M25" s="4">
        <f t="shared" si="8"/>
        <v>1</v>
      </c>
      <c r="N25" s="4">
        <f t="shared" si="9"/>
        <v>-1</v>
      </c>
      <c r="O25" s="4">
        <f t="shared" si="10"/>
        <v>1</v>
      </c>
      <c r="P25" s="4">
        <f t="shared" si="11"/>
        <v>-1</v>
      </c>
    </row>
    <row r="26">
      <c r="A26" s="2">
        <v>6.0</v>
      </c>
      <c r="B26" s="2">
        <v>1.0</v>
      </c>
      <c r="C26" s="2">
        <v>-1.0</v>
      </c>
      <c r="D26" s="2">
        <v>1.0</v>
      </c>
      <c r="E26" s="2">
        <v>-1.0</v>
      </c>
      <c r="F26" s="4">
        <f t="shared" si="1"/>
        <v>-1</v>
      </c>
      <c r="G26" s="4">
        <f t="shared" si="2"/>
        <v>1</v>
      </c>
      <c r="H26" s="4">
        <f t="shared" si="3"/>
        <v>-1</v>
      </c>
      <c r="I26" s="4">
        <f t="shared" si="4"/>
        <v>-1</v>
      </c>
      <c r="J26" s="4">
        <f t="shared" si="5"/>
        <v>1</v>
      </c>
      <c r="K26" s="4">
        <f t="shared" si="6"/>
        <v>-1</v>
      </c>
      <c r="L26" s="4">
        <f t="shared" si="7"/>
        <v>-1</v>
      </c>
      <c r="M26" s="4">
        <f t="shared" si="8"/>
        <v>-1</v>
      </c>
      <c r="N26" s="4">
        <f t="shared" si="9"/>
        <v>1</v>
      </c>
      <c r="O26" s="4">
        <f t="shared" si="10"/>
        <v>1</v>
      </c>
      <c r="P26" s="4">
        <f t="shared" si="11"/>
        <v>1</v>
      </c>
    </row>
    <row r="27">
      <c r="A27" s="2">
        <v>7.0</v>
      </c>
      <c r="B27" s="2">
        <v>-1.0</v>
      </c>
      <c r="C27" s="2">
        <v>1.0</v>
      </c>
      <c r="D27" s="2">
        <v>1.0</v>
      </c>
      <c r="E27" s="2">
        <v>-1.0</v>
      </c>
      <c r="F27" s="4">
        <f t="shared" si="1"/>
        <v>-1</v>
      </c>
      <c r="G27" s="4">
        <f t="shared" si="2"/>
        <v>-1</v>
      </c>
      <c r="H27" s="4">
        <f t="shared" si="3"/>
        <v>1</v>
      </c>
      <c r="I27" s="4">
        <f t="shared" si="4"/>
        <v>1</v>
      </c>
      <c r="J27" s="4">
        <f t="shared" si="5"/>
        <v>-1</v>
      </c>
      <c r="K27" s="4">
        <f t="shared" si="6"/>
        <v>-1</v>
      </c>
      <c r="L27" s="4">
        <f t="shared" si="7"/>
        <v>-1</v>
      </c>
      <c r="M27" s="4">
        <f t="shared" si="8"/>
        <v>1</v>
      </c>
      <c r="N27" s="4">
        <f t="shared" si="9"/>
        <v>1</v>
      </c>
      <c r="O27" s="4">
        <f t="shared" si="10"/>
        <v>-1</v>
      </c>
      <c r="P27" s="4">
        <f t="shared" si="11"/>
        <v>1</v>
      </c>
    </row>
    <row r="28">
      <c r="A28" s="2">
        <v>8.0</v>
      </c>
      <c r="B28" s="2">
        <v>1.0</v>
      </c>
      <c r="C28" s="2">
        <v>1.0</v>
      </c>
      <c r="D28" s="2">
        <v>1.0</v>
      </c>
      <c r="E28" s="2">
        <v>-1.0</v>
      </c>
      <c r="F28" s="4">
        <f t="shared" si="1"/>
        <v>1</v>
      </c>
      <c r="G28" s="4">
        <f t="shared" si="2"/>
        <v>1</v>
      </c>
      <c r="H28" s="4">
        <f t="shared" si="3"/>
        <v>-1</v>
      </c>
      <c r="I28" s="4">
        <f t="shared" si="4"/>
        <v>1</v>
      </c>
      <c r="J28" s="4">
        <f t="shared" si="5"/>
        <v>-1</v>
      </c>
      <c r="K28" s="4">
        <f t="shared" si="6"/>
        <v>-1</v>
      </c>
      <c r="L28" s="4">
        <f t="shared" si="7"/>
        <v>1</v>
      </c>
      <c r="M28" s="4">
        <f t="shared" si="8"/>
        <v>-1</v>
      </c>
      <c r="N28" s="4">
        <f t="shared" si="9"/>
        <v>-1</v>
      </c>
      <c r="O28" s="4">
        <f t="shared" si="10"/>
        <v>-1</v>
      </c>
      <c r="P28" s="4">
        <f t="shared" si="11"/>
        <v>-1</v>
      </c>
    </row>
    <row r="29">
      <c r="A29" s="2">
        <v>9.0</v>
      </c>
      <c r="B29" s="2">
        <v>-1.0</v>
      </c>
      <c r="C29" s="2">
        <v>-1.0</v>
      </c>
      <c r="D29" s="2">
        <v>-1.0</v>
      </c>
      <c r="E29" s="2">
        <v>1.0</v>
      </c>
      <c r="F29" s="4">
        <f t="shared" si="1"/>
        <v>1</v>
      </c>
      <c r="G29" s="4">
        <f t="shared" si="2"/>
        <v>1</v>
      </c>
      <c r="H29" s="4">
        <f t="shared" si="3"/>
        <v>-1</v>
      </c>
      <c r="I29" s="4">
        <f t="shared" si="4"/>
        <v>1</v>
      </c>
      <c r="J29" s="4">
        <f t="shared" si="5"/>
        <v>-1</v>
      </c>
      <c r="K29" s="4">
        <f t="shared" si="6"/>
        <v>-1</v>
      </c>
      <c r="L29" s="4">
        <f t="shared" si="7"/>
        <v>-1</v>
      </c>
      <c r="M29" s="4">
        <f t="shared" si="8"/>
        <v>1</v>
      </c>
      <c r="N29" s="4">
        <f t="shared" si="9"/>
        <v>1</v>
      </c>
      <c r="O29" s="4">
        <f t="shared" si="10"/>
        <v>1</v>
      </c>
      <c r="P29" s="4">
        <f t="shared" si="11"/>
        <v>-1</v>
      </c>
    </row>
    <row r="30">
      <c r="A30" s="2">
        <v>10.0</v>
      </c>
      <c r="B30" s="2">
        <v>1.0</v>
      </c>
      <c r="C30" s="2">
        <v>-1.0</v>
      </c>
      <c r="D30" s="2">
        <v>-1.0</v>
      </c>
      <c r="E30" s="2">
        <v>1.0</v>
      </c>
      <c r="F30" s="4">
        <f t="shared" si="1"/>
        <v>-1</v>
      </c>
      <c r="G30" s="4">
        <f t="shared" si="2"/>
        <v>-1</v>
      </c>
      <c r="H30" s="4">
        <f t="shared" si="3"/>
        <v>1</v>
      </c>
      <c r="I30" s="4">
        <f t="shared" si="4"/>
        <v>1</v>
      </c>
      <c r="J30" s="4">
        <f t="shared" si="5"/>
        <v>-1</v>
      </c>
      <c r="K30" s="4">
        <f t="shared" si="6"/>
        <v>-1</v>
      </c>
      <c r="L30" s="4">
        <f t="shared" si="7"/>
        <v>1</v>
      </c>
      <c r="M30" s="4">
        <f t="shared" si="8"/>
        <v>-1</v>
      </c>
      <c r="N30" s="4">
        <f t="shared" si="9"/>
        <v>-1</v>
      </c>
      <c r="O30" s="4">
        <f t="shared" si="10"/>
        <v>1</v>
      </c>
      <c r="P30" s="4">
        <f t="shared" si="11"/>
        <v>1</v>
      </c>
    </row>
    <row r="31">
      <c r="A31" s="2">
        <v>11.0</v>
      </c>
      <c r="B31" s="2">
        <v>-1.0</v>
      </c>
      <c r="C31" s="2">
        <v>1.0</v>
      </c>
      <c r="D31" s="2">
        <v>-1.0</v>
      </c>
      <c r="E31" s="2">
        <v>1.0</v>
      </c>
      <c r="F31" s="4">
        <f t="shared" si="1"/>
        <v>-1</v>
      </c>
      <c r="G31" s="4">
        <f t="shared" si="2"/>
        <v>1</v>
      </c>
      <c r="H31" s="4">
        <f t="shared" si="3"/>
        <v>-1</v>
      </c>
      <c r="I31" s="4">
        <f t="shared" si="4"/>
        <v>-1</v>
      </c>
      <c r="J31" s="4">
        <f t="shared" si="5"/>
        <v>1</v>
      </c>
      <c r="K31" s="4">
        <f t="shared" si="6"/>
        <v>-1</v>
      </c>
      <c r="L31" s="4">
        <f t="shared" si="7"/>
        <v>1</v>
      </c>
      <c r="M31" s="4">
        <f t="shared" si="8"/>
        <v>1</v>
      </c>
      <c r="N31" s="4">
        <f t="shared" si="9"/>
        <v>-1</v>
      </c>
      <c r="O31" s="4">
        <f t="shared" si="10"/>
        <v>-1</v>
      </c>
      <c r="P31" s="4">
        <f t="shared" si="11"/>
        <v>1</v>
      </c>
    </row>
    <row r="32">
      <c r="A32" s="2">
        <v>12.0</v>
      </c>
      <c r="B32" s="2">
        <v>1.0</v>
      </c>
      <c r="C32" s="2">
        <v>1.0</v>
      </c>
      <c r="D32" s="2">
        <v>-1.0</v>
      </c>
      <c r="E32" s="2">
        <v>1.0</v>
      </c>
      <c r="F32" s="4">
        <f t="shared" si="1"/>
        <v>1</v>
      </c>
      <c r="G32" s="4">
        <f t="shared" si="2"/>
        <v>-1</v>
      </c>
      <c r="H32" s="4">
        <f t="shared" si="3"/>
        <v>1</v>
      </c>
      <c r="I32" s="4">
        <f t="shared" si="4"/>
        <v>-1</v>
      </c>
      <c r="J32" s="4">
        <f t="shared" si="5"/>
        <v>1</v>
      </c>
      <c r="K32" s="4">
        <f t="shared" si="6"/>
        <v>-1</v>
      </c>
      <c r="L32" s="4">
        <f t="shared" si="7"/>
        <v>-1</v>
      </c>
      <c r="M32" s="4">
        <f t="shared" si="8"/>
        <v>-1</v>
      </c>
      <c r="N32" s="4">
        <f t="shared" si="9"/>
        <v>1</v>
      </c>
      <c r="O32" s="4">
        <f t="shared" si="10"/>
        <v>-1</v>
      </c>
      <c r="P32" s="4">
        <f t="shared" si="11"/>
        <v>-1</v>
      </c>
    </row>
    <row r="33">
      <c r="A33" s="2">
        <v>13.0</v>
      </c>
      <c r="B33" s="2">
        <v>-1.0</v>
      </c>
      <c r="C33" s="2">
        <v>-1.0</v>
      </c>
      <c r="D33" s="2">
        <v>1.0</v>
      </c>
      <c r="E33" s="2">
        <v>1.0</v>
      </c>
      <c r="F33" s="4">
        <f t="shared" si="1"/>
        <v>1</v>
      </c>
      <c r="G33" s="4">
        <f t="shared" si="2"/>
        <v>-1</v>
      </c>
      <c r="H33" s="4">
        <f t="shared" si="3"/>
        <v>-1</v>
      </c>
      <c r="I33" s="4">
        <f t="shared" si="4"/>
        <v>-1</v>
      </c>
      <c r="J33" s="4">
        <f t="shared" si="5"/>
        <v>-1</v>
      </c>
      <c r="K33" s="4">
        <f t="shared" si="6"/>
        <v>1</v>
      </c>
      <c r="L33" s="4">
        <f t="shared" si="7"/>
        <v>1</v>
      </c>
      <c r="M33" s="4">
        <f t="shared" si="8"/>
        <v>-1</v>
      </c>
      <c r="N33" s="4">
        <f t="shared" si="9"/>
        <v>1</v>
      </c>
      <c r="O33" s="4">
        <f t="shared" si="10"/>
        <v>-1</v>
      </c>
      <c r="P33" s="4">
        <f t="shared" si="11"/>
        <v>1</v>
      </c>
    </row>
    <row r="34">
      <c r="A34" s="2">
        <v>14.0</v>
      </c>
      <c r="B34" s="2">
        <v>1.0</v>
      </c>
      <c r="C34" s="2">
        <v>-1.0</v>
      </c>
      <c r="D34" s="2">
        <v>1.0</v>
      </c>
      <c r="E34" s="2">
        <v>1.0</v>
      </c>
      <c r="F34" s="4">
        <f t="shared" si="1"/>
        <v>-1</v>
      </c>
      <c r="G34" s="4">
        <f t="shared" si="2"/>
        <v>1</v>
      </c>
      <c r="H34" s="4">
        <f t="shared" si="3"/>
        <v>1</v>
      </c>
      <c r="I34" s="4">
        <f t="shared" si="4"/>
        <v>-1</v>
      </c>
      <c r="J34" s="4">
        <f t="shared" si="5"/>
        <v>-1</v>
      </c>
      <c r="K34" s="4">
        <f t="shared" si="6"/>
        <v>1</v>
      </c>
      <c r="L34" s="4">
        <f t="shared" si="7"/>
        <v>-1</v>
      </c>
      <c r="M34" s="4">
        <f t="shared" si="8"/>
        <v>1</v>
      </c>
      <c r="N34" s="4">
        <f t="shared" si="9"/>
        <v>-1</v>
      </c>
      <c r="O34" s="4">
        <f t="shared" si="10"/>
        <v>-1</v>
      </c>
      <c r="P34" s="4">
        <f t="shared" si="11"/>
        <v>-1</v>
      </c>
    </row>
    <row r="35">
      <c r="A35" s="2">
        <v>15.0</v>
      </c>
      <c r="B35" s="2">
        <v>-1.0</v>
      </c>
      <c r="C35" s="2">
        <v>1.0</v>
      </c>
      <c r="D35" s="2">
        <v>1.0</v>
      </c>
      <c r="E35" s="2">
        <v>1.0</v>
      </c>
      <c r="F35" s="4">
        <f t="shared" si="1"/>
        <v>-1</v>
      </c>
      <c r="G35" s="4">
        <f t="shared" si="2"/>
        <v>-1</v>
      </c>
      <c r="H35" s="4">
        <f t="shared" si="3"/>
        <v>-1</v>
      </c>
      <c r="I35" s="4">
        <f t="shared" si="4"/>
        <v>1</v>
      </c>
      <c r="J35" s="4">
        <f t="shared" si="5"/>
        <v>1</v>
      </c>
      <c r="K35" s="4">
        <f t="shared" si="6"/>
        <v>1</v>
      </c>
      <c r="L35" s="4">
        <f t="shared" si="7"/>
        <v>-1</v>
      </c>
      <c r="M35" s="4">
        <f t="shared" si="8"/>
        <v>-1</v>
      </c>
      <c r="N35" s="4">
        <f t="shared" si="9"/>
        <v>-1</v>
      </c>
      <c r="O35" s="4">
        <f t="shared" si="10"/>
        <v>1</v>
      </c>
      <c r="P35" s="4">
        <f t="shared" si="11"/>
        <v>-1</v>
      </c>
    </row>
    <row r="36">
      <c r="A36" s="2">
        <v>16.0</v>
      </c>
      <c r="B36" s="2">
        <v>1.0</v>
      </c>
      <c r="C36" s="2">
        <v>1.0</v>
      </c>
      <c r="D36" s="2">
        <v>1.0</v>
      </c>
      <c r="E36" s="2">
        <v>1.0</v>
      </c>
      <c r="F36" s="4">
        <f t="shared" si="1"/>
        <v>1</v>
      </c>
      <c r="G36" s="4">
        <f t="shared" si="2"/>
        <v>1</v>
      </c>
      <c r="H36" s="4">
        <f t="shared" si="3"/>
        <v>1</v>
      </c>
      <c r="I36" s="4">
        <f t="shared" si="4"/>
        <v>1</v>
      </c>
      <c r="J36" s="4">
        <f t="shared" si="5"/>
        <v>1</v>
      </c>
      <c r="K36" s="4">
        <f t="shared" si="6"/>
        <v>1</v>
      </c>
      <c r="L36" s="4">
        <f t="shared" si="7"/>
        <v>1</v>
      </c>
      <c r="M36" s="4">
        <f t="shared" si="8"/>
        <v>1</v>
      </c>
      <c r="N36" s="4">
        <f t="shared" si="9"/>
        <v>1</v>
      </c>
      <c r="O36" s="4">
        <f t="shared" si="10"/>
        <v>1</v>
      </c>
      <c r="P36" s="4">
        <f t="shared" si="11"/>
        <v>1</v>
      </c>
    </row>
    <row r="38">
      <c r="A38" s="3" t="s">
        <v>22</v>
      </c>
    </row>
    <row r="39">
      <c r="A39" s="5" t="s">
        <v>23</v>
      </c>
      <c r="B39" s="6">
        <f t="shared" ref="B39:P39" si="12">SUMPRODUCT(B21:B36*$F$2:$F$17)/(2^(4-1))</f>
        <v>-3.25</v>
      </c>
      <c r="C39" s="7">
        <f t="shared" si="12"/>
        <v>0</v>
      </c>
      <c r="D39" s="7">
        <f t="shared" si="12"/>
        <v>7</v>
      </c>
      <c r="E39" s="7">
        <f t="shared" si="12"/>
        <v>6.75</v>
      </c>
      <c r="F39" s="7">
        <f t="shared" si="12"/>
        <v>7</v>
      </c>
      <c r="G39" s="7">
        <f t="shared" si="12"/>
        <v>0.5</v>
      </c>
      <c r="H39" s="7">
        <f t="shared" si="12"/>
        <v>-1.75</v>
      </c>
      <c r="I39" s="7">
        <f t="shared" si="12"/>
        <v>2.25</v>
      </c>
      <c r="J39" s="7">
        <f t="shared" si="12"/>
        <v>0.5</v>
      </c>
      <c r="K39" s="7">
        <f t="shared" si="12"/>
        <v>4</v>
      </c>
      <c r="L39" s="7">
        <f t="shared" si="12"/>
        <v>0.75</v>
      </c>
      <c r="M39" s="7">
        <f t="shared" si="12"/>
        <v>-1</v>
      </c>
      <c r="N39" s="7">
        <f t="shared" si="12"/>
        <v>0</v>
      </c>
      <c r="O39" s="7">
        <f t="shared" si="12"/>
        <v>0.75</v>
      </c>
      <c r="P39" s="8">
        <f t="shared" si="12"/>
        <v>-1.25</v>
      </c>
    </row>
    <row r="40">
      <c r="A40" s="5" t="s">
        <v>24</v>
      </c>
      <c r="B40" s="9">
        <f t="shared" ref="B40:P40" si="13">ABS(B39)</f>
        <v>3.25</v>
      </c>
      <c r="C40" s="10">
        <f t="shared" si="13"/>
        <v>0</v>
      </c>
      <c r="D40" s="11">
        <f t="shared" si="13"/>
        <v>7</v>
      </c>
      <c r="E40" s="11">
        <f t="shared" si="13"/>
        <v>6.75</v>
      </c>
      <c r="F40" s="11">
        <f t="shared" si="13"/>
        <v>7</v>
      </c>
      <c r="G40" s="10">
        <f t="shared" si="13"/>
        <v>0.5</v>
      </c>
      <c r="H40" s="10">
        <f t="shared" si="13"/>
        <v>1.75</v>
      </c>
      <c r="I40" s="10">
        <f t="shared" si="13"/>
        <v>2.25</v>
      </c>
      <c r="J40" s="10">
        <f t="shared" si="13"/>
        <v>0.5</v>
      </c>
      <c r="K40" s="11">
        <f t="shared" si="13"/>
        <v>4</v>
      </c>
      <c r="L40" s="10">
        <f t="shared" si="13"/>
        <v>0.75</v>
      </c>
      <c r="M40" s="10">
        <f t="shared" si="13"/>
        <v>1</v>
      </c>
      <c r="N40" s="10">
        <f t="shared" si="13"/>
        <v>0</v>
      </c>
      <c r="O40" s="10">
        <f t="shared" si="13"/>
        <v>0.75</v>
      </c>
      <c r="P40" s="12">
        <f t="shared" si="13"/>
        <v>1.25</v>
      </c>
    </row>
    <row r="41">
      <c r="B41" s="13" t="s">
        <v>25</v>
      </c>
      <c r="C41" s="14">
        <f>MEDIAN(B40:P40)</f>
        <v>1.25</v>
      </c>
    </row>
    <row r="42">
      <c r="A42" s="15"/>
      <c r="B42" s="15"/>
      <c r="C42" s="16"/>
    </row>
    <row r="43">
      <c r="A43" s="5" t="s">
        <v>26</v>
      </c>
      <c r="B43" s="13" t="s">
        <v>27</v>
      </c>
      <c r="C43" s="14">
        <f>1.5*C41</f>
        <v>1.875</v>
      </c>
    </row>
    <row r="44">
      <c r="A44" s="5" t="s">
        <v>28</v>
      </c>
      <c r="B44" s="13" t="s">
        <v>29</v>
      </c>
      <c r="C44" s="14">
        <f>C43*2.5</f>
        <v>4.6875</v>
      </c>
      <c r="D44" s="17" t="s">
        <v>30</v>
      </c>
      <c r="E44" s="18"/>
    </row>
    <row r="45">
      <c r="A45" s="5" t="s">
        <v>31</v>
      </c>
      <c r="B45" s="6">
        <f t="shared" ref="B45:P45" si="14">IF(B40&lt;$C$44,B40,"-")</f>
        <v>3.25</v>
      </c>
      <c r="C45" s="7">
        <f t="shared" si="14"/>
        <v>0</v>
      </c>
      <c r="D45" s="19" t="str">
        <f t="shared" si="14"/>
        <v>-</v>
      </c>
      <c r="E45" s="19" t="str">
        <f t="shared" si="14"/>
        <v>-</v>
      </c>
      <c r="F45" s="19" t="str">
        <f t="shared" si="14"/>
        <v>-</v>
      </c>
      <c r="G45" s="7">
        <f t="shared" si="14"/>
        <v>0.5</v>
      </c>
      <c r="H45" s="7">
        <f t="shared" si="14"/>
        <v>1.75</v>
      </c>
      <c r="I45" s="7">
        <f t="shared" si="14"/>
        <v>2.25</v>
      </c>
      <c r="J45" s="7">
        <f t="shared" si="14"/>
        <v>0.5</v>
      </c>
      <c r="K45" s="7">
        <f t="shared" si="14"/>
        <v>4</v>
      </c>
      <c r="L45" s="7">
        <f t="shared" si="14"/>
        <v>0.75</v>
      </c>
      <c r="M45" s="7">
        <f t="shared" si="14"/>
        <v>1</v>
      </c>
      <c r="N45" s="7">
        <f t="shared" si="14"/>
        <v>0</v>
      </c>
      <c r="O45" s="7">
        <f t="shared" si="14"/>
        <v>0.75</v>
      </c>
      <c r="P45" s="8">
        <f t="shared" si="14"/>
        <v>1.25</v>
      </c>
    </row>
    <row r="46">
      <c r="A46" s="20" t="s">
        <v>32</v>
      </c>
      <c r="B46" s="18"/>
      <c r="C46" s="6">
        <v>3.25</v>
      </c>
      <c r="D46" s="7">
        <v>0.0</v>
      </c>
      <c r="E46" s="7">
        <v>0.5</v>
      </c>
      <c r="F46" s="7">
        <v>1.75</v>
      </c>
      <c r="G46" s="7">
        <v>2.25</v>
      </c>
      <c r="H46" s="7">
        <v>0.5</v>
      </c>
      <c r="I46" s="7">
        <v>4.0</v>
      </c>
      <c r="J46" s="7">
        <v>0.75</v>
      </c>
      <c r="K46" s="7">
        <v>1.0</v>
      </c>
      <c r="L46" s="7">
        <v>0.0</v>
      </c>
      <c r="M46" s="7">
        <v>0.75</v>
      </c>
      <c r="N46" s="8">
        <v>1.25</v>
      </c>
    </row>
    <row r="47">
      <c r="A47" s="20" t="s">
        <v>33</v>
      </c>
      <c r="B47" s="18"/>
      <c r="C47" s="21">
        <f>MEDIAN(C46:N46)</f>
        <v>0.875</v>
      </c>
    </row>
    <row r="48">
      <c r="A48" s="5" t="s">
        <v>34</v>
      </c>
      <c r="B48" s="13" t="s">
        <v>35</v>
      </c>
      <c r="C48" s="14">
        <f>C47*1.5</f>
        <v>1.3125</v>
      </c>
    </row>
    <row r="49">
      <c r="A49" s="22" t="s">
        <v>36</v>
      </c>
      <c r="B49" s="18"/>
    </row>
    <row r="50">
      <c r="A50" s="13" t="s">
        <v>37</v>
      </c>
      <c r="B50" s="6">
        <f t="shared" ref="B50:P50" si="15">B40/$C$48</f>
        <v>2.476190476</v>
      </c>
      <c r="C50" s="7">
        <f t="shared" si="15"/>
        <v>0</v>
      </c>
      <c r="D50" s="7">
        <f t="shared" si="15"/>
        <v>5.333333333</v>
      </c>
      <c r="E50" s="7">
        <f t="shared" si="15"/>
        <v>5.142857143</v>
      </c>
      <c r="F50" s="7">
        <f t="shared" si="15"/>
        <v>5.333333333</v>
      </c>
      <c r="G50" s="7">
        <f t="shared" si="15"/>
        <v>0.380952381</v>
      </c>
      <c r="H50" s="7">
        <f t="shared" si="15"/>
        <v>1.333333333</v>
      </c>
      <c r="I50" s="7">
        <f t="shared" si="15"/>
        <v>1.714285714</v>
      </c>
      <c r="J50" s="7">
        <f t="shared" si="15"/>
        <v>0.380952381</v>
      </c>
      <c r="K50" s="7">
        <f t="shared" si="15"/>
        <v>3.047619048</v>
      </c>
      <c r="L50" s="7">
        <f t="shared" si="15"/>
        <v>0.5714285714</v>
      </c>
      <c r="M50" s="7">
        <f t="shared" si="15"/>
        <v>0.7619047619</v>
      </c>
      <c r="N50" s="7">
        <f t="shared" si="15"/>
        <v>0</v>
      </c>
      <c r="O50" s="7">
        <f t="shared" si="15"/>
        <v>0.5714285714</v>
      </c>
      <c r="P50" s="8">
        <f t="shared" si="15"/>
        <v>0.9523809524</v>
      </c>
    </row>
    <row r="52">
      <c r="A52" s="5" t="s">
        <v>38</v>
      </c>
      <c r="B52" s="17" t="s">
        <v>39</v>
      </c>
      <c r="C52" s="18"/>
      <c r="D52" s="13" t="s">
        <v>40</v>
      </c>
      <c r="E52" s="14">
        <f>_xlfn.T.INV(0.975,15/3)*C48</f>
        <v>3.373888659</v>
      </c>
    </row>
    <row r="53">
      <c r="A53" s="5" t="s">
        <v>41</v>
      </c>
      <c r="B53" s="17" t="s">
        <v>42</v>
      </c>
      <c r="C53" s="23"/>
      <c r="D53" s="23"/>
      <c r="E53" s="18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</sheetData>
  <mergeCells count="6">
    <mergeCell ref="A46:B46"/>
    <mergeCell ref="A47:B47"/>
    <mergeCell ref="A49:B49"/>
    <mergeCell ref="B52:C52"/>
    <mergeCell ref="B53:E53"/>
    <mergeCell ref="D44:E44"/>
  </mergeCells>
  <drawing r:id="rId1"/>
</worksheet>
</file>